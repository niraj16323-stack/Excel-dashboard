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  <sheet state="visible" name="calculation" sheetId="2" r:id="rId6"/>
    <sheet state="visible" name="dashboard" sheetId="3" r:id="rId7"/>
    <sheet state="visible" name="Chart1" sheetId="4" r:id="rId8"/>
  </sheets>
  <definedNames/>
  <calcPr/>
</workbook>
</file>

<file path=xl/sharedStrings.xml><?xml version="1.0" encoding="utf-8"?>
<sst xmlns="http://schemas.openxmlformats.org/spreadsheetml/2006/main" count="47" uniqueCount="35">
  <si>
    <t>Timestamp</t>
  </si>
  <si>
    <t>student name</t>
  </si>
  <si>
    <t>class</t>
  </si>
  <si>
    <t>Email</t>
  </si>
  <si>
    <t>fees status</t>
  </si>
  <si>
    <t xml:space="preserve">poonam </t>
  </si>
  <si>
    <t>2nd year</t>
  </si>
  <si>
    <t>poonampoddar230520005@gmail.com</t>
  </si>
  <si>
    <t>paid</t>
  </si>
  <si>
    <t>Niraj</t>
  </si>
  <si>
    <t>ggopg46@gmail.com</t>
  </si>
  <si>
    <t xml:space="preserve">Nikhil </t>
  </si>
  <si>
    <t>3rd year</t>
  </si>
  <si>
    <t>Nikhil@gmail</t>
  </si>
  <si>
    <t>unpaid</t>
  </si>
  <si>
    <t>Priyanka</t>
  </si>
  <si>
    <t>Priya@gmail.com</t>
  </si>
  <si>
    <t>Ravi</t>
  </si>
  <si>
    <t>4 year</t>
  </si>
  <si>
    <t>Ravi@gmail.com</t>
  </si>
  <si>
    <t>Usha</t>
  </si>
  <si>
    <t>Usha@gmail.com</t>
  </si>
  <si>
    <t>Bobby</t>
  </si>
  <si>
    <t>1st year</t>
  </si>
  <si>
    <t>Bobby@gmail.com</t>
  </si>
  <si>
    <t>Dadu</t>
  </si>
  <si>
    <t>Dadu@gmail.com</t>
  </si>
  <si>
    <t>Nik</t>
  </si>
  <si>
    <t>Ushadevi@gmsil.com</t>
  </si>
  <si>
    <t>Total Students</t>
  </si>
  <si>
    <t>Paid Students</t>
  </si>
  <si>
    <t>Pending Students</t>
  </si>
  <si>
    <t>Total Classes</t>
  </si>
  <si>
    <t>Today's Responses</t>
  </si>
  <si>
    <t>Latest Student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</si>
</sst>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Chart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276225</xdr:rowOff>
    </xdr:from>
    <xdr:ext cx="5715000" cy="3533775"/>
    <xdr:pic>
      <xdr:nvPicPr>
        <xdr:cNvPr id="416486606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pic>
      <xdr:nvPicPr>
        <xdr:cNvPr id="1268534870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absolute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10" displayName="Form_Responses" name="Form_Responses" id="1">
  <tableColumns count="5">
    <tableColumn name="Timestamp" id="1"/>
    <tableColumn name="student name" id="2"/>
    <tableColumn name="class" id="3"/>
    <tableColumn name="Email" id="4"/>
    <tableColumn name="fees status" id="5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1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2">
        <v>46167.07514659722</v>
      </c>
      <c r="B2" s="3" t="s">
        <v>5</v>
      </c>
      <c r="C2" s="3" t="s">
        <v>6</v>
      </c>
      <c r="D2" s="3" t="s">
        <v>7</v>
      </c>
      <c r="E2" s="3" t="s">
        <v>8</v>
      </c>
    </row>
    <row r="3" ht="22.5" customHeight="1">
      <c r="A3" s="2">
        <v>46167.075283564816</v>
      </c>
      <c r="B3" s="3" t="s">
        <v>9</v>
      </c>
      <c r="C3" s="3" t="s">
        <v>6</v>
      </c>
      <c r="D3" s="3" t="s">
        <v>10</v>
      </c>
      <c r="E3" s="3" t="s">
        <v>8</v>
      </c>
    </row>
    <row r="4" ht="22.5" customHeight="1">
      <c r="A4" s="2">
        <v>46167.07580085648</v>
      </c>
      <c r="B4" s="3" t="s">
        <v>11</v>
      </c>
      <c r="C4" s="3" t="s">
        <v>12</v>
      </c>
      <c r="D4" s="3" t="s">
        <v>13</v>
      </c>
      <c r="E4" s="3" t="s">
        <v>14</v>
      </c>
    </row>
    <row r="5" ht="22.5" customHeight="1">
      <c r="A5" s="2">
        <v>46167.07614445602</v>
      </c>
      <c r="B5" s="3" t="s">
        <v>15</v>
      </c>
      <c r="C5" s="3" t="s">
        <v>12</v>
      </c>
      <c r="D5" s="3" t="s">
        <v>16</v>
      </c>
      <c r="E5" s="3" t="s">
        <v>8</v>
      </c>
    </row>
    <row r="6" ht="22.5" customHeight="1">
      <c r="A6" s="2">
        <v>46167.07647410879</v>
      </c>
      <c r="B6" s="3" t="s">
        <v>17</v>
      </c>
      <c r="C6" s="3" t="s">
        <v>18</v>
      </c>
      <c r="D6" s="3" t="s">
        <v>19</v>
      </c>
      <c r="E6" s="3" t="s">
        <v>8</v>
      </c>
    </row>
    <row r="7" ht="22.5" customHeight="1">
      <c r="A7" s="4">
        <v>46167.08033547454</v>
      </c>
      <c r="B7" s="5" t="s">
        <v>20</v>
      </c>
      <c r="C7" s="5" t="s">
        <v>18</v>
      </c>
      <c r="D7" s="5" t="s">
        <v>21</v>
      </c>
      <c r="E7" s="5" t="s">
        <v>14</v>
      </c>
    </row>
    <row r="8" ht="22.5" customHeight="1">
      <c r="A8" s="4">
        <v>46167.129795162036</v>
      </c>
      <c r="B8" s="5" t="s">
        <v>22</v>
      </c>
      <c r="C8" s="5" t="s">
        <v>23</v>
      </c>
      <c r="D8" s="5" t="s">
        <v>24</v>
      </c>
      <c r="E8" s="5" t="s">
        <v>14</v>
      </c>
    </row>
    <row r="9" ht="22.5" customHeight="1">
      <c r="A9" s="4">
        <v>46167.13051501157</v>
      </c>
      <c r="B9" s="5" t="s">
        <v>25</v>
      </c>
      <c r="C9" s="5" t="s">
        <v>18</v>
      </c>
      <c r="D9" s="5" t="s">
        <v>26</v>
      </c>
      <c r="E9" s="5" t="s">
        <v>8</v>
      </c>
    </row>
    <row r="10" ht="22.5" customHeight="1">
      <c r="A10" s="4">
        <v>46167.46772877315</v>
      </c>
      <c r="B10" s="5" t="s">
        <v>27</v>
      </c>
      <c r="C10" s="5" t="s">
        <v>18</v>
      </c>
      <c r="D10" s="5" t="s">
        <v>28</v>
      </c>
      <c r="E10" s="5" t="s">
        <v>8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29</v>
      </c>
      <c r="B1" s="7">
        <f>COUNTA('Form Responses 1'!B2:B1000)</f>
        <v>9</v>
      </c>
    </row>
    <row r="2">
      <c r="A2" s="6" t="s">
        <v>30</v>
      </c>
      <c r="B2" s="7">
        <f>COUNTIF('Form Responses 1'!E2:E1000,"Paid")</f>
        <v>6</v>
      </c>
    </row>
    <row r="3">
      <c r="A3" s="6" t="s">
        <v>31</v>
      </c>
      <c r="B3" s="7">
        <f>COUNTIF('Form Responses 1'!E2:E1000,"Pending")</f>
        <v>0</v>
      </c>
    </row>
    <row r="4">
      <c r="A4" s="6" t="s">
        <v>32</v>
      </c>
      <c r="B4" s="7">
        <f t="array" ref="B4">COUNTA(UNIQUE('Form Responses 1'!C2:C1000))</f>
        <v>4</v>
      </c>
    </row>
    <row r="5">
      <c r="A5" s="6" t="s">
        <v>33</v>
      </c>
      <c r="B5" s="7">
        <f>COUNTIF(INT('Form Responses 1'!A2:A1000),TODAY())</f>
        <v>1</v>
      </c>
    </row>
    <row r="6">
      <c r="A6" s="6" t="s">
        <v>34</v>
      </c>
      <c r="B6" s="7" t="str">
        <f t="array" ref="B6">INDEX('Form Responses 1'!B:B,COUNTA('Form Responses 1'!B:B))</f>
        <v>Nik</v>
      </c>
    </row>
    <row r="8">
      <c r="A8" s="7" t="str">
        <f>IFERROR(__xludf.DUMMYFUNCTION("QUERY('Form Responses 1'!B:E,""SELECT C,COUNT(B) WHERE C IS NOT NULL GROUP BY C LABEL C 'Class', COUNT(B) 'Total Students'"",1)"),"Class")</f>
        <v>Class</v>
      </c>
      <c r="B8" s="7" t="str">
        <f>IFERROR(__xludf.DUMMYFUNCTION("""COMPUTED_VALUE"""),"Total Students")</f>
        <v>Total Students</v>
      </c>
      <c r="D8" s="7" t="str">
        <f>IFERROR(__xludf.DUMMYFUNCTION("QUERY('Form Responses 1'!B:E,""SELECT E,COUNT(E) WHERE E IS NOT NULL GROUP BY E LABEL E 'Fees Status', COUNT(E) 'Count'"",1)"),"Fees Status")</f>
        <v>Fees Status</v>
      </c>
      <c r="E8" s="7" t="str">
        <f>IFERROR(__xludf.DUMMYFUNCTION("""COMPUTED_VALUE"""),"Count")</f>
        <v>Count</v>
      </c>
    </row>
    <row r="9">
      <c r="A9" s="7" t="str">
        <f>IFERROR(__xludf.DUMMYFUNCTION("""COMPUTED_VALUE"""),"1st year")</f>
        <v>1st year</v>
      </c>
      <c r="B9" s="7">
        <f>IFERROR(__xludf.DUMMYFUNCTION("""COMPUTED_VALUE"""),1.0)</f>
        <v>1</v>
      </c>
      <c r="D9" s="7" t="str">
        <f>IFERROR(__xludf.DUMMYFUNCTION("""COMPUTED_VALUE"""),"paid")</f>
        <v>paid</v>
      </c>
      <c r="E9" s="7">
        <f>IFERROR(__xludf.DUMMYFUNCTION("""COMPUTED_VALUE"""),6.0)</f>
        <v>6</v>
      </c>
    </row>
    <row r="10">
      <c r="A10" s="7" t="str">
        <f>IFERROR(__xludf.DUMMYFUNCTION("""COMPUTED_VALUE"""),"2nd year")</f>
        <v>2nd year</v>
      </c>
      <c r="B10" s="7">
        <f>IFERROR(__xludf.DUMMYFUNCTION("""COMPUTED_VALUE"""),2.0)</f>
        <v>2</v>
      </c>
      <c r="D10" s="7" t="str">
        <f>IFERROR(__xludf.DUMMYFUNCTION("""COMPUTED_VALUE"""),"unpaid")</f>
        <v>unpaid</v>
      </c>
      <c r="E10" s="7">
        <f>IFERROR(__xludf.DUMMYFUNCTION("""COMPUTED_VALUE"""),3.0)</f>
        <v>3</v>
      </c>
    </row>
    <row r="11">
      <c r="A11" s="7" t="str">
        <f>IFERROR(__xludf.DUMMYFUNCTION("""COMPUTED_VALUE"""),"3rd year")</f>
        <v>3rd year</v>
      </c>
      <c r="B11" s="7">
        <f>IFERROR(__xludf.DUMMYFUNCTION("""COMPUTED_VALUE"""),2.0)</f>
        <v>2</v>
      </c>
    </row>
    <row r="12">
      <c r="A12" s="7" t="str">
        <f>IFERROR(__xludf.DUMMYFUNCTION("""COMPUTED_VALUE"""),"4 year")</f>
        <v>4 year</v>
      </c>
      <c r="B12" s="7">
        <f>IFERROR(__xludf.DUMMYFUNCTION("""COMPUTED_VALUE"""),4.0)</f>
        <v>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7" t="str">
        <f t="shared" ref="B1:B4" si="1">Calculations!B1</f>
        <v>#REF!</v>
      </c>
    </row>
    <row r="2">
      <c r="B2" s="7" t="str">
        <f t="shared" si="1"/>
        <v>#REF!</v>
      </c>
    </row>
    <row r="3">
      <c r="B3" s="7" t="str">
        <f t="shared" si="1"/>
        <v>#REF!</v>
      </c>
    </row>
    <row r="4">
      <c r="B4" s="7" t="str">
        <f t="shared" si="1"/>
        <v>#REF!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showGridLines="0" workbookViewId="0"/>
  </sheetViews>
  <sheetData/>
  <sheetProtection objects="1" selectLockedCells="1" selectUnlockedCells="1" sheet="1"/>
  <drawing r:id="rId1"/>
</worksheet>
</file>